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D:\S3\AMG\Projet\"/>
    </mc:Choice>
  </mc:AlternateContent>
  <xr:revisionPtr revIDLastSave="0" documentId="13_ncr:1_{AC87AC60-DF43-4555-9BC3-6AF326370F8D}" xr6:coauthVersionLast="47"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7"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7" l="1"/>
  <c r="D115" i="157"/>
  <c r="D96" i="157"/>
  <c r="D77" i="157"/>
  <c r="D58" i="157"/>
  <c r="D39" i="157"/>
  <c r="D20" i="157"/>
  <c r="D1" i="157"/>
  <c r="B151" i="157"/>
  <c r="B132" i="157"/>
  <c r="B113" i="157"/>
  <c r="B94" i="157"/>
  <c r="B75" i="157"/>
  <c r="B56" i="157"/>
  <c r="B37" i="157"/>
  <c r="B18" i="157"/>
  <c r="B18" i="154"/>
  <c r="B13" i="11" l="1"/>
</calcChain>
</file>

<file path=xl/sharedStrings.xml><?xml version="1.0" encoding="utf-8"?>
<sst xmlns="http://schemas.openxmlformats.org/spreadsheetml/2006/main" count="153" uniqueCount="63">
  <si>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</si>
  <si>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</si>
  <si>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</si>
  <si>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</si>
  <si>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</si>
  <si>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</si>
  <si>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</si>
  <si>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</si>
  <si>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</si>
  <si>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</si>
  <si>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</si>
  <si>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</si>
  <si>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</si>
  <si>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</si>
  <si>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</si>
  <si>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</si>
  <si>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</si>
  <si>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</si>
  <si>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</si>
  <si>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</si>
  <si>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</si>
  <si>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</si>
  <si>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</si>
  <si>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</si>
  <si>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Christopher - Ristic</t>
  </si>
  <si>
    <t>FID1</t>
  </si>
  <si>
    <t>Introduction</t>
  </si>
  <si>
    <t>Marketplace</t>
  </si>
  <si>
    <t>Recherche</t>
  </si>
  <si>
    <t>Comprendre</t>
  </si>
  <si>
    <t>Analyser</t>
  </si>
  <si>
    <t>Effectuer</t>
  </si>
  <si>
    <t>P_Remed</t>
  </si>
  <si>
    <t>Vennes</t>
  </si>
  <si>
    <t>STOP</t>
  </si>
  <si>
    <t>Inscription marketplace, création fichier cahier de charges, journal de travail</t>
  </si>
  <si>
    <t>Trouver une idée de cahier de charge C# orienté objet</t>
  </si>
  <si>
    <t>Le prof regarde le cahier des charges</t>
  </si>
  <si>
    <t>Création d'un dépôt sur github, création du projet visual studio c# .net</t>
  </si>
  <si>
    <t>https://github.com/chrisETML/InventorySystem</t>
  </si>
  <si>
    <t>Comprendre comment fonctionne un type interface</t>
  </si>
  <si>
    <t>Max. 9</t>
  </si>
  <si>
    <t>Afficher et positionner le tableau de l'inventaire dans la console, ajouter un objet dans l'inventaire</t>
  </si>
  <si>
    <t>Créer et implémenter le système de sauvegarde dans un fichier CSV, pouvoir récuperer une sauvegarde</t>
  </si>
  <si>
    <t>Création d'un enum pour les paramètres obligatoire hérité des interfaces tel que la catégorie et la rareté</t>
  </si>
  <si>
    <t>Synchronisation sur les interfaces avec Meron, identifier les comportement commun de tous les objets, des ressources et des autres types objets, aide sur la compréhension des interfaces, et héritage</t>
  </si>
  <si>
    <t>Synchronisation sur les fichiers commun</t>
  </si>
  <si>
    <t>IResource, Rarity, Material, IItem, Class Resource, Category</t>
  </si>
  <si>
    <t>Affichage propre de l'inventaire sur la console, avec affichage du statut du poids de l'inventaire</t>
  </si>
  <si>
    <t>Methode SaveToCsv ajout vérification de categorie des objets dans LoadFromCsv</t>
  </si>
  <si>
    <t>InventorySaveSystem.cs</t>
  </si>
  <si>
    <t>Importer la classe sword, l'interface ISword, modification de la methode SaveToCsv il faut prendre en compte le type de l'objet avant de sauvegarder, Pareil pour LoadFromCsv il faut savoir quelle est le type de l'objet qu'il faut créer car chaque objet ne possède pas les mêmes paramètres dans le constructeur. Verifier le fichier de sauvegarde. Verifier que LoadFromCsv a bien créer les objets.</t>
  </si>
  <si>
    <t>InventorySaveSystem</t>
  </si>
  <si>
    <t>Inventory</t>
  </si>
  <si>
    <t>Interface</t>
  </si>
  <si>
    <t>Agrandir la fenêtre a la taille de l'écran, réorganiser les fichiers avec des dossiers, Modification des namespace pour qu'il soit plus cohérent, Iitem, Iresource et resource dans WorldSystem et non dans InventorySystem</t>
  </si>
  <si>
    <t>Gestion de l'affichage de l'inventaire et des potientiels message en jeu</t>
  </si>
  <si>
    <t>Inventory.cs</t>
  </si>
  <si>
    <t>InventoryProgram.cs</t>
  </si>
  <si>
    <t>Changement total pour le matériel, remplacement des enums par un struct</t>
  </si>
  <si>
    <t xml:space="preserve">Affichage de l'inventaire et mise a jour </t>
  </si>
  <si>
    <t>Suppression d'un item de l'inventaire lorsque je veux récupérer l'objet dans le monde</t>
  </si>
  <si>
    <t>WorldSystem, aide sur l'affichage, mise en accord pour les positions des affichages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</si>
</sst>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16" fillId="9" borderId="0" xfId="0" applyFont="1" applyFill="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 fillId="0" borderId="0" xfId="1" applyAlignment="1" applyProtection="1"/>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github.com/chrisETML/InventorySystem"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16" zoomScaleNormal="100" zoomScaleSheetLayoutView="100" workbookViewId="0">
      <selection activeCell="C29" sqref="C29"/>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32</v>
      </c>
      <c r="D3" s="59"/>
      <c r="E3" s="59"/>
      <c r="F3" s="59"/>
      <c r="G3" s="60"/>
    </row>
    <row r="4" spans="1:7" ht="20.25" x14ac:dyDescent="0.25">
      <c r="A4" s="58"/>
      <c r="B4" s="63" t="s">
        <v>4</v>
      </c>
      <c r="C4" s="64" t="s">
        <v>24</v>
      </c>
      <c r="D4" s="59"/>
      <c r="E4" s="59"/>
      <c r="F4" s="59"/>
      <c r="G4" s="60"/>
    </row>
    <row r="5" spans="1:7" ht="20.25" x14ac:dyDescent="0.25">
      <c r="A5" s="58"/>
      <c r="B5" s="63" t="s">
        <v>1</v>
      </c>
      <c r="C5" s="64" t="s">
        <v>25</v>
      </c>
      <c r="D5" s="59"/>
      <c r="E5" s="59"/>
      <c r="F5" s="59"/>
      <c r="G5" s="60"/>
    </row>
    <row r="6" spans="1:7" ht="21" thickBot="1" x14ac:dyDescent="0.3">
      <c r="A6" s="58"/>
      <c r="B6" s="65" t="s">
        <v>2</v>
      </c>
      <c r="C6" s="66" t="s">
        <v>33</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9</v>
      </c>
      <c r="C9" s="67">
        <v>45674</v>
      </c>
      <c r="D9" s="59"/>
      <c r="E9" s="59"/>
      <c r="F9" s="59"/>
      <c r="G9" s="60"/>
    </row>
    <row r="10" spans="1:7" ht="20.25" x14ac:dyDescent="0.25">
      <c r="A10" s="58"/>
      <c r="B10" s="68" t="s">
        <v>8</v>
      </c>
      <c r="C10" s="69">
        <v>45730</v>
      </c>
      <c r="D10" s="59"/>
      <c r="E10" s="59"/>
      <c r="F10" s="59"/>
      <c r="G10" s="60"/>
    </row>
    <row r="11" spans="1:7" ht="20.25" x14ac:dyDescent="0.25">
      <c r="A11" s="58"/>
      <c r="B11" s="68" t="s">
        <v>10</v>
      </c>
      <c r="C11" s="70">
        <v>8</v>
      </c>
      <c r="D11" s="59"/>
      <c r="E11" s="59"/>
      <c r="F11" s="59"/>
      <c r="G11" s="60"/>
    </row>
    <row r="12" spans="1:7" ht="20.25" x14ac:dyDescent="0.25">
      <c r="A12" s="58"/>
      <c r="B12" s="63" t="s">
        <v>11</v>
      </c>
      <c r="C12" s="71">
        <v>3</v>
      </c>
      <c r="D12" s="59"/>
      <c r="E12" s="59"/>
      <c r="F12" s="59"/>
      <c r="G12" s="60"/>
    </row>
    <row r="13" spans="1:7" ht="20.25" x14ac:dyDescent="0.25">
      <c r="A13" s="58"/>
      <c r="B13" s="63" t="s">
        <v>12</v>
      </c>
      <c r="C13" s="71">
        <v>3</v>
      </c>
      <c r="D13" s="59"/>
      <c r="E13" s="59"/>
      <c r="F13" s="59"/>
      <c r="G13" s="60"/>
    </row>
    <row r="14" spans="1:7" ht="20.25" thickBot="1" x14ac:dyDescent="0.3">
      <c r="A14" s="58"/>
      <c r="B14" s="72"/>
      <c r="C14" s="73" t="s">
        <v>6</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93" t="s">
        <v>19</v>
      </c>
      <c r="C19" s="94"/>
      <c r="D19" s="59"/>
      <c r="E19" s="59"/>
      <c r="F19" s="59"/>
      <c r="G19" s="60"/>
    </row>
    <row r="20" spans="1:7" ht="20.25" x14ac:dyDescent="0.25">
      <c r="A20" s="78"/>
      <c r="B20" s="79" t="s">
        <v>20</v>
      </c>
      <c r="C20" s="80" t="s">
        <v>21</v>
      </c>
      <c r="D20" s="59"/>
      <c r="E20" s="59"/>
      <c r="F20" s="59"/>
      <c r="G20" s="60"/>
    </row>
    <row r="21" spans="1:7" ht="20.25" x14ac:dyDescent="0.25">
      <c r="A21" s="78"/>
      <c r="B21" s="79">
        <v>1</v>
      </c>
      <c r="C21" s="69" t="s">
        <v>26</v>
      </c>
      <c r="D21" s="59"/>
      <c r="E21" s="59"/>
      <c r="F21" s="59"/>
      <c r="G21" s="60"/>
    </row>
    <row r="22" spans="1:7" ht="20.25" x14ac:dyDescent="0.25">
      <c r="A22" s="78"/>
      <c r="B22" s="79">
        <v>2</v>
      </c>
      <c r="C22" s="70" t="s">
        <v>27</v>
      </c>
      <c r="D22" s="59"/>
      <c r="E22" s="59"/>
      <c r="F22" s="59"/>
      <c r="G22" s="60"/>
    </row>
    <row r="23" spans="1:7" ht="20.25" x14ac:dyDescent="0.25">
      <c r="A23" s="78"/>
      <c r="B23" s="81">
        <v>3</v>
      </c>
      <c r="C23" s="70" t="s">
        <v>28</v>
      </c>
      <c r="D23" s="59"/>
      <c r="E23" s="59"/>
      <c r="F23" s="59"/>
      <c r="G23" s="60"/>
    </row>
    <row r="24" spans="1:7" ht="20.25" x14ac:dyDescent="0.25">
      <c r="A24" s="78"/>
      <c r="B24" s="79">
        <v>4</v>
      </c>
      <c r="C24" s="70" t="s">
        <v>29</v>
      </c>
      <c r="D24" s="59"/>
      <c r="E24" s="59"/>
      <c r="F24" s="59"/>
      <c r="G24" s="60"/>
    </row>
    <row r="25" spans="1:7" ht="20.25" x14ac:dyDescent="0.25">
      <c r="A25" s="78"/>
      <c r="B25" s="79">
        <v>5</v>
      </c>
      <c r="C25" s="70" t="s">
        <v>54</v>
      </c>
      <c r="D25" s="59"/>
      <c r="E25" s="59"/>
      <c r="F25" s="59"/>
      <c r="G25" s="60"/>
    </row>
    <row r="26" spans="1:7" ht="20.25" x14ac:dyDescent="0.25">
      <c r="A26" s="78"/>
      <c r="B26" s="81">
        <v>6</v>
      </c>
      <c r="C26" s="70" t="s">
        <v>52</v>
      </c>
      <c r="D26" s="59"/>
      <c r="E26" s="59"/>
      <c r="F26" s="59"/>
      <c r="G26" s="60"/>
    </row>
    <row r="27" spans="1:7" ht="20.25" x14ac:dyDescent="0.25">
      <c r="A27" s="78"/>
      <c r="B27" s="79">
        <v>7</v>
      </c>
      <c r="C27" s="70" t="s">
        <v>53</v>
      </c>
      <c r="D27" s="59"/>
      <c r="E27" s="59"/>
      <c r="F27" s="59"/>
      <c r="G27" s="60"/>
    </row>
    <row r="28" spans="1:7" ht="20.25" x14ac:dyDescent="0.25">
      <c r="A28" s="78"/>
      <c r="B28" s="79">
        <v>8</v>
      </c>
      <c r="C28" s="71" t="s">
        <v>31</v>
      </c>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v>
      </c>
      <c r="C2" s="15" t="s">
        <v>18</v>
      </c>
    </row>
    <row r="3" spans="1:4" ht="19.5" customHeight="1" x14ac:dyDescent="0.25">
      <c r="A3" s="19"/>
      <c r="B3" s="95" t="s">
        <v>21</v>
      </c>
      <c r="C3" s="16">
        <v>0</v>
      </c>
    </row>
    <row r="4" spans="1:4" ht="19.5" customHeight="1" x14ac:dyDescent="0.25">
      <c r="A4" s="19"/>
      <c r="B4" s="96"/>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5"/>
    </row>
    <row r="2" spans="1:4" ht="27.7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row>
    <row r="2" spans="1:4" ht="27.7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B7869-C15E-4FC7-8C38-7656C0F2874B}">
  <sheetPr codeName="Feuil10"/>
  <dimension ref="A1:H153"/>
  <sheetViews>
    <sheetView tabSelected="1" topLeftCell="A76" workbookViewId="0">
      <selection activeCell="D99" sqref="D99"/>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f>Donnees!$C$9</f>
        <v>45674</v>
      </c>
    </row>
    <row r="2" spans="1:4" ht="27.75" thickBot="1" x14ac:dyDescent="0.3">
      <c r="A2" s="45" t="s">
        <v>3</v>
      </c>
      <c r="B2" s="46" t="s">
        <v>15</v>
      </c>
      <c r="C2" s="45" t="s">
        <v>7</v>
      </c>
      <c r="D2" s="45" t="s">
        <v>13</v>
      </c>
    </row>
    <row r="3" spans="1:4" s="52" customFormat="1" x14ac:dyDescent="0.25">
      <c r="A3" s="5" t="s">
        <v>26</v>
      </c>
      <c r="B3" s="4">
        <v>1</v>
      </c>
      <c r="C3" s="88" t="s">
        <v>35</v>
      </c>
      <c r="D3" s="9"/>
    </row>
    <row r="4" spans="1:4" s="52" customFormat="1" x14ac:dyDescent="0.25">
      <c r="A4" s="1" t="s">
        <v>28</v>
      </c>
      <c r="B4" s="2">
        <v>2</v>
      </c>
      <c r="C4" s="89" t="s">
        <v>36</v>
      </c>
      <c r="D4" s="10"/>
    </row>
    <row r="5" spans="1:4" s="52" customFormat="1" x14ac:dyDescent="0.25">
      <c r="A5" s="1" t="s">
        <v>30</v>
      </c>
      <c r="B5" s="2">
        <v>1</v>
      </c>
      <c r="C5" s="89" t="s">
        <v>37</v>
      </c>
      <c r="D5" s="10"/>
    </row>
    <row r="6" spans="1:4" s="52" customFormat="1" x14ac:dyDescent="0.25">
      <c r="A6" s="1" t="s">
        <v>31</v>
      </c>
      <c r="B6" s="2">
        <v>1</v>
      </c>
      <c r="C6" s="89" t="s">
        <v>38</v>
      </c>
      <c r="D6" s="90" t="s">
        <v>39</v>
      </c>
    </row>
    <row r="7" spans="1:4" s="52" customFormat="1" x14ac:dyDescent="0.25">
      <c r="A7" s="1" t="s">
        <v>29</v>
      </c>
      <c r="B7" s="2">
        <v>4</v>
      </c>
      <c r="C7" s="89" t="s">
        <v>40</v>
      </c>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9</v>
      </c>
      <c r="C18" s="86" t="s">
        <v>41</v>
      </c>
      <c r="D18" s="48"/>
    </row>
    <row r="19" spans="1:8" ht="15" thickBot="1" x14ac:dyDescent="0.35">
      <c r="A19" s="49"/>
      <c r="B19" s="49"/>
      <c r="C19" s="49"/>
      <c r="D19" s="49"/>
    </row>
    <row r="20" spans="1:8" ht="18.75" thickBot="1" x14ac:dyDescent="0.3">
      <c r="A20" s="42" t="s">
        <v>14</v>
      </c>
      <c r="B20" s="43">
        <v>2</v>
      </c>
      <c r="C20" s="44" t="s">
        <v>23</v>
      </c>
      <c r="D20" s="53">
        <f>$D$1+7</f>
        <v>45681</v>
      </c>
    </row>
    <row r="21" spans="1:8" ht="27.75" thickBot="1" x14ac:dyDescent="0.3">
      <c r="A21" s="45" t="s">
        <v>3</v>
      </c>
      <c r="B21" s="46" t="s">
        <v>15</v>
      </c>
      <c r="C21" s="45" t="s">
        <v>7</v>
      </c>
      <c r="D21" s="45" t="s">
        <v>13</v>
      </c>
    </row>
    <row r="22" spans="1:8" ht="27.75" thickBot="1" x14ac:dyDescent="0.3">
      <c r="A22" s="5" t="s">
        <v>31</v>
      </c>
      <c r="B22" s="4">
        <v>3</v>
      </c>
      <c r="C22" s="88" t="s">
        <v>42</v>
      </c>
      <c r="D22" s="9"/>
    </row>
    <row r="23" spans="1:8" ht="27" x14ac:dyDescent="0.25">
      <c r="A23" s="1" t="s">
        <v>52</v>
      </c>
      <c r="B23" s="2">
        <v>3</v>
      </c>
      <c r="C23" s="89" t="s">
        <v>43</v>
      </c>
      <c r="D23" s="88" t="s">
        <v>50</v>
      </c>
    </row>
    <row r="24" spans="1:8" ht="40.5" x14ac:dyDescent="0.25">
      <c r="A24" s="1" t="s">
        <v>30</v>
      </c>
      <c r="B24" s="2">
        <v>2</v>
      </c>
      <c r="C24" s="89" t="s">
        <v>45</v>
      </c>
      <c r="D24" s="10"/>
    </row>
    <row r="25" spans="1:8" ht="12.75" customHeight="1" x14ac:dyDescent="0.25">
      <c r="A25" s="1" t="s">
        <v>31</v>
      </c>
      <c r="B25" s="2">
        <v>1</v>
      </c>
      <c r="C25" s="89" t="s">
        <v>44</v>
      </c>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22</v>
      </c>
      <c r="B37" s="47">
        <f>SUM(B22:B36)</f>
        <v>9</v>
      </c>
      <c r="C37" s="86" t="s">
        <v>41</v>
      </c>
      <c r="D37" s="48"/>
    </row>
    <row r="38" spans="1:8" ht="15" thickBot="1" x14ac:dyDescent="0.35">
      <c r="A38" s="49"/>
      <c r="B38" s="49"/>
      <c r="C38" s="49"/>
      <c r="D38" s="49"/>
    </row>
    <row r="39" spans="1:8" ht="18.75" thickBot="1" x14ac:dyDescent="0.3">
      <c r="A39" s="42" t="s">
        <v>14</v>
      </c>
      <c r="B39" s="43">
        <v>3</v>
      </c>
      <c r="C39" s="44" t="s">
        <v>23</v>
      </c>
      <c r="D39" s="53">
        <f>$D$20+7</f>
        <v>45688</v>
      </c>
    </row>
    <row r="40" spans="1:8" ht="27.75" thickBot="1" x14ac:dyDescent="0.3">
      <c r="A40" s="45" t="s">
        <v>3</v>
      </c>
      <c r="B40" s="46" t="s">
        <v>15</v>
      </c>
      <c r="C40" s="45" t="s">
        <v>7</v>
      </c>
      <c r="D40" s="45" t="s">
        <v>13</v>
      </c>
    </row>
    <row r="41" spans="1:8" ht="27" x14ac:dyDescent="0.25">
      <c r="A41" s="5" t="s">
        <v>31</v>
      </c>
      <c r="B41" s="4">
        <v>2</v>
      </c>
      <c r="C41" s="88" t="s">
        <v>46</v>
      </c>
      <c r="D41" s="88" t="s">
        <v>47</v>
      </c>
    </row>
    <row r="42" spans="1:8" ht="27.75" thickBot="1" x14ac:dyDescent="0.3">
      <c r="A42" s="91" t="s">
        <v>53</v>
      </c>
      <c r="B42" s="2">
        <v>1</v>
      </c>
      <c r="C42" s="89" t="s">
        <v>48</v>
      </c>
      <c r="D42" s="10"/>
    </row>
    <row r="43" spans="1:8" x14ac:dyDescent="0.25">
      <c r="A43" s="1" t="s">
        <v>52</v>
      </c>
      <c r="B43" s="2">
        <v>6</v>
      </c>
      <c r="C43" s="89" t="s">
        <v>49</v>
      </c>
      <c r="D43" s="88" t="s">
        <v>50</v>
      </c>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22</v>
      </c>
      <c r="B56" s="47">
        <f>SUM(B41:B55)</f>
        <v>9</v>
      </c>
      <c r="C56" s="86" t="s">
        <v>41</v>
      </c>
      <c r="D56" s="48"/>
    </row>
    <row r="57" spans="1:4" ht="15" thickBot="1" x14ac:dyDescent="0.35">
      <c r="A57" s="49"/>
      <c r="B57" s="49"/>
      <c r="C57" s="49"/>
      <c r="D57" s="49"/>
    </row>
    <row r="58" spans="1:4" ht="18.75" thickBot="1" x14ac:dyDescent="0.3">
      <c r="A58" s="42" t="s">
        <v>14</v>
      </c>
      <c r="B58" s="43">
        <v>4</v>
      </c>
      <c r="C58" s="44" t="s">
        <v>23</v>
      </c>
      <c r="D58" s="53">
        <f>$D$39+7</f>
        <v>45695</v>
      </c>
    </row>
    <row r="59" spans="1:4" ht="27.75" thickBot="1" x14ac:dyDescent="0.3">
      <c r="A59" s="45" t="s">
        <v>3</v>
      </c>
      <c r="B59" s="46" t="s">
        <v>15</v>
      </c>
      <c r="C59" s="45" t="s">
        <v>7</v>
      </c>
      <c r="D59" s="45" t="s">
        <v>13</v>
      </c>
    </row>
    <row r="60" spans="1:4" ht="67.5" x14ac:dyDescent="0.25">
      <c r="A60" s="92" t="s">
        <v>52</v>
      </c>
      <c r="B60" s="4">
        <v>5</v>
      </c>
      <c r="C60" s="88" t="s">
        <v>51</v>
      </c>
      <c r="D60" s="88" t="s">
        <v>50</v>
      </c>
    </row>
    <row r="61" spans="1:4" ht="40.5" x14ac:dyDescent="0.25">
      <c r="A61" s="1" t="s">
        <v>31</v>
      </c>
      <c r="B61" s="2">
        <v>1</v>
      </c>
      <c r="C61" s="89" t="s">
        <v>55</v>
      </c>
      <c r="D61" s="89" t="s">
        <v>58</v>
      </c>
    </row>
    <row r="62" spans="1:4" x14ac:dyDescent="0.25">
      <c r="A62" s="1" t="s">
        <v>31</v>
      </c>
      <c r="B62" s="2">
        <v>3</v>
      </c>
      <c r="C62" s="89" t="s">
        <v>56</v>
      </c>
      <c r="D62" s="89" t="s">
        <v>57</v>
      </c>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22</v>
      </c>
      <c r="B75" s="47">
        <f>SUM(B60:B74)</f>
        <v>9</v>
      </c>
      <c r="C75" s="86" t="s">
        <v>41</v>
      </c>
      <c r="D75" s="48"/>
    </row>
    <row r="76" spans="1:4" ht="15" thickBot="1" x14ac:dyDescent="0.35">
      <c r="A76" s="49"/>
      <c r="B76" s="49"/>
      <c r="C76" s="49"/>
      <c r="D76" s="49"/>
    </row>
    <row r="77" spans="1:4" ht="18.75" thickBot="1" x14ac:dyDescent="0.3">
      <c r="A77" s="42" t="s">
        <v>14</v>
      </c>
      <c r="B77" s="43">
        <v>5</v>
      </c>
      <c r="C77" s="44" t="s">
        <v>23</v>
      </c>
      <c r="D77" s="53">
        <f>$D$58+7</f>
        <v>45702</v>
      </c>
    </row>
    <row r="78" spans="1:4" ht="27.75" thickBot="1" x14ac:dyDescent="0.3">
      <c r="A78" s="45" t="s">
        <v>3</v>
      </c>
      <c r="B78" s="46" t="s">
        <v>15</v>
      </c>
      <c r="C78" s="45" t="s">
        <v>7</v>
      </c>
      <c r="D78" s="45" t="s">
        <v>13</v>
      </c>
    </row>
    <row r="79" spans="1:4" x14ac:dyDescent="0.25">
      <c r="A79" s="5" t="s">
        <v>53</v>
      </c>
      <c r="B79" s="4">
        <v>5</v>
      </c>
      <c r="C79" s="88" t="s">
        <v>59</v>
      </c>
      <c r="D79" s="9"/>
    </row>
    <row r="80" spans="1:4" x14ac:dyDescent="0.25">
      <c r="A80" s="1" t="s">
        <v>54</v>
      </c>
      <c r="B80" s="2">
        <v>2</v>
      </c>
      <c r="C80" s="89" t="s">
        <v>60</v>
      </c>
      <c r="D80" s="10"/>
    </row>
    <row r="81" spans="1:4" x14ac:dyDescent="0.25">
      <c r="A81" s="1" t="s">
        <v>53</v>
      </c>
      <c r="B81" s="2">
        <v>2</v>
      </c>
      <c r="C81" s="89" t="s">
        <v>61</v>
      </c>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22</v>
      </c>
      <c r="B94" s="47">
        <f>SUM(B79:B93)</f>
        <v>9</v>
      </c>
      <c r="C94" s="86" t="s">
        <v>41</v>
      </c>
      <c r="D94" s="48"/>
    </row>
    <row r="95" spans="1:4" ht="15" thickBot="1" x14ac:dyDescent="0.35">
      <c r="A95" s="49"/>
      <c r="B95" s="49"/>
      <c r="C95" s="49"/>
      <c r="D95" s="49"/>
    </row>
    <row r="96" spans="1:4" ht="18.75" thickBot="1" x14ac:dyDescent="0.3">
      <c r="A96" s="42" t="s">
        <v>14</v>
      </c>
      <c r="B96" s="43">
        <v>6</v>
      </c>
      <c r="C96" s="44" t="s">
        <v>23</v>
      </c>
      <c r="D96" s="53">
        <f>$D$77+7</f>
        <v>45709</v>
      </c>
    </row>
    <row r="97" spans="1:4" ht="27.75" thickBot="1" x14ac:dyDescent="0.3">
      <c r="A97" s="45" t="s">
        <v>3</v>
      </c>
      <c r="B97" s="46" t="s">
        <v>15</v>
      </c>
      <c r="C97" s="45" t="s">
        <v>7</v>
      </c>
      <c r="D97" s="45" t="s">
        <v>13</v>
      </c>
    </row>
    <row r="98" spans="1:4" x14ac:dyDescent="0.25">
      <c r="A98" s="5" t="s">
        <v>31</v>
      </c>
      <c r="B98" s="4">
        <v>4</v>
      </c>
      <c r="C98" s="88" t="s">
        <v>62</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22</v>
      </c>
      <c r="B113" s="47">
        <f>SUM(B98:B112)</f>
        <v>4</v>
      </c>
      <c r="C113" s="86" t="s">
        <v>41</v>
      </c>
      <c r="D113" s="48"/>
    </row>
    <row r="114" spans="1:4" ht="15" thickBot="1" x14ac:dyDescent="0.35">
      <c r="A114" s="49"/>
      <c r="B114" s="49"/>
      <c r="C114" s="49"/>
      <c r="D114" s="49"/>
    </row>
    <row r="115" spans="1:4" ht="18.75" thickBot="1" x14ac:dyDescent="0.3">
      <c r="A115" s="42" t="s">
        <v>14</v>
      </c>
      <c r="B115" s="43">
        <v>7</v>
      </c>
      <c r="C115" s="44" t="s">
        <v>23</v>
      </c>
      <c r="D115" s="53">
        <f>$D$96+7</f>
        <v>45716</v>
      </c>
    </row>
    <row r="116" spans="1:4" ht="27.75" thickBot="1" x14ac:dyDescent="0.3">
      <c r="A116" s="45" t="s">
        <v>3</v>
      </c>
      <c r="B116" s="46" t="s">
        <v>15</v>
      </c>
      <c r="C116" s="45" t="s">
        <v>7</v>
      </c>
      <c r="D116" s="45"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22</v>
      </c>
      <c r="B132" s="47">
        <f>SUM(B117:B131)</f>
        <v>0</v>
      </c>
      <c r="C132" s="86" t="s">
        <v>41</v>
      </c>
      <c r="D132" s="48"/>
    </row>
    <row r="133" spans="1:4" ht="15" thickBot="1" x14ac:dyDescent="0.35">
      <c r="A133" s="49"/>
      <c r="B133" s="49"/>
      <c r="C133" s="49"/>
      <c r="D133" s="49"/>
    </row>
    <row r="134" spans="1:4" ht="18.75" thickBot="1" x14ac:dyDescent="0.3">
      <c r="A134" s="42" t="s">
        <v>14</v>
      </c>
      <c r="B134" s="43">
        <v>8</v>
      </c>
      <c r="C134" s="44" t="s">
        <v>23</v>
      </c>
      <c r="D134" s="53">
        <f>$D$115+7</f>
        <v>45723</v>
      </c>
    </row>
    <row r="135" spans="1:4" ht="27.75" thickBot="1" x14ac:dyDescent="0.3">
      <c r="A135" s="45" t="s">
        <v>3</v>
      </c>
      <c r="B135" s="46" t="s">
        <v>15</v>
      </c>
      <c r="C135" s="45" t="s">
        <v>7</v>
      </c>
      <c r="D135" s="45"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22</v>
      </c>
      <c r="B151" s="47">
        <f>SUM(B136:B150)</f>
        <v>0</v>
      </c>
      <c r="C151" s="86" t="s">
        <v>41</v>
      </c>
      <c r="D151" s="48"/>
    </row>
    <row r="152" spans="1:4" ht="14.25" x14ac:dyDescent="0.3">
      <c r="A152" s="49"/>
      <c r="B152" s="49"/>
      <c r="C152" s="49"/>
      <c r="D152" s="49"/>
    </row>
    <row r="153" spans="1:4" x14ac:dyDescent="0.25">
      <c r="A153" s="87"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5E8F3C79-E182-46CE-A641-228A5BC90E2D}">
      <formula1>0</formula1>
      <formula2>DureePeriode-1</formula2>
    </dataValidation>
    <dataValidation type="whole" errorStyle="warning" operator="greaterThan" allowBlank="1" showInputMessage="1" showErrorMessage="1" errorTitle="Durée en 1/3 de période" error="Le nombre doit être de type entier" sqref="F27:F34 B136:B150 B22:B36 B41:B55 B60:B74 B79:B93 B98:B112 B117:B131 B3:B17" xr:uid="{9CC5067F-339A-4094-BBBA-F7863048764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DDB6A74C-B21F-4C71-9FA4-FF4328B3D85B}">
      <formula1>0</formula1>
      <formula2>NbPerWeek * NbQuartPer</formula2>
    </dataValidation>
    <dataValidation type="list" allowBlank="1" showInputMessage="1" showErrorMessage="1" sqref="A136:A150 A22:A36 A41:A55 A60:A74 A79:A93 A98:A112 A117:A131 A3:A17" xr:uid="{8A534AEC-054A-4B1F-90C9-F5164B202ABE}">
      <formula1>lstTasks</formula1>
    </dataValidation>
  </dataValidations>
  <hyperlinks>
    <hyperlink ref="D6" r:id="rId1" xr:uid="{C944FE84-2438-42B6-A6B4-F59CBD25605F}"/>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46081"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6081"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2.xml><?xml version="1.0" encoding="utf-8"?>
<ds:datastoreItem xmlns:ds="http://schemas.openxmlformats.org/officeDocument/2006/customXml" ds:itemID="{7C29126A-0525-4FCA-A870-5924A033DD5A}">
  <ds:schemaRefs>
    <ds:schemaRef ds:uri="http://purl.org/dc/dcmitype/"/>
    <ds:schemaRef ds:uri="f7d9f5a6-831d-4621-8c77-cbcaf993e406"/>
    <ds:schemaRef ds:uri="bf2f2df3-a963-4452-b0e7-67dabc627c35"/>
    <ds:schemaRef ds:uri="http://schemas.microsoft.com/office/2006/metadata/properties"/>
    <ds:schemaRef ds:uri="http://purl.org/dc/elements/1.1/"/>
    <ds:schemaRef ds:uri="http://schemas.microsoft.com/office/2006/documentManagement/types"/>
    <ds:schemaRef ds:uri="http://purl.org/dc/terms/"/>
    <ds:schemaRef ds:uri="http://schemas.openxmlformats.org/package/2006/metadata/core-propertie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Christopher Ristic</dc:creator>
  <cp:lastModifiedBy>Christopher Ristic</cp:lastModifiedBy>
  <cp:lastPrinted>2013-08-29T11:33:15Z</cp:lastPrinted>
  <dcterms:created xsi:type="dcterms:W3CDTF">1996-10-21T11:03:58Z</dcterms:created>
  <dcterms:modified xsi:type="dcterms:W3CDTF">2025-02-28T09:04:13Z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